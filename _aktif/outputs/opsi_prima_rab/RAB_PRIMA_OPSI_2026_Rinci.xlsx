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86ae0d7622444f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ingkasan" sheetId="1" r:id="R03ea437786284732"/>
    <x:sheet xmlns:r="http://schemas.openxmlformats.org/officeDocument/2006/relationships" name="RAB Rinci" sheetId="2" r:id="R5ac4e6ab032646f4"/>
    <x:sheet xmlns:r="http://schemas.openxmlformats.org/officeDocument/2006/relationships" name="Catatan Reviewer" sheetId="3" r:id="R88e9fb0321ae4d0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&quot;Rp&quot; #,##0"/>
    <x:numFmt numFmtId="201" formatCode="#,##0"/>
    <x:numFmt numFmtId="202" formatCode="0.0%"/>
  </x:numFmts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245B4F"/>
      </x:patternFill>
    </x:fill>
    <x:fill>
      <x:patternFill patternType="solid">
        <x:fgColor rgb="FF386F63"/>
      </x:patternFill>
    </x:fill>
    <x:fill>
      <x:patternFill patternType="solid">
        <x:fgColor rgb="FFE8F3EF"/>
      </x:patternFill>
    </x:fill>
  </x:fills>
  <x:borders count="3">
    <x:border/>
    <x:border>
      <x:left style="thin">
        <x:color rgb="FFD8DEE4"/>
      </x:left>
      <x:right style="thin">
        <x:color rgb="FFD8DEE4"/>
      </x:right>
      <x:top style="thin">
        <x:color rgb="FFD8DEE4"/>
      </x:top>
      <x:bottom style="thin">
        <x:color rgb="FFD8DEE4"/>
      </x:bottom>
    </x:border>
    <x:border>
      <x:left style="thin">
        <x:color rgb="FFB9C8C2"/>
      </x:left>
      <x:right style="thin">
        <x:color rgb="FFB9C8C2"/>
      </x:right>
      <x:top style="thin">
        <x:color rgb="FFB9C8C2"/>
      </x:top>
      <x:bottom style="thin">
        <x:color rgb="FFB9C8C2"/>
      </x:bottom>
    </x:border>
  </x:borders>
  <x:cellStyleXfs count="1">
    <x:xf numFmtId="0" fontId="0" fillId="0" borderId="0"/>
  </x:cellStyleXfs>
  <x:cellXfs count="3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horizontal="center"/>
    </x:xf>
    <x:xf numFmtId="200" fontId="0" fillId="0" borderId="1" xfId="0" applyNumberFormat="1" applyFont="1" applyFill="1" applyBorder="1"/>
    <x:xf numFmtId="200" fontId="0" fillId="0" borderId="1" xfId="0" applyNumberFormat="1" applyFont="1" applyFill="1" applyBorder="1" applyAlignment="1">
      <x:alignment horizontal="right"/>
    </x:xf>
    <x:xf numFmtId="0" fontId="0" fillId="0" borderId="1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 applyAlignment="1">
      <x:alignment wrapText="1"/>
    </x:xf>
    <x:xf numFmtId="200" fontId="0" fillId="4" borderId="1" xfId="0" applyNumberFormat="1" applyFont="1" applyFill="1" applyBorder="1" applyAlignment="1">
      <x:alignment horizontal="right"/>
    </x:xf>
    <x:xf numFmtId="0" fontId="3" fillId="4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wrapText="1"/>
    </x:xf>
    <x:xf numFmtId="200" fontId="3" fillId="4" borderId="1" xfId="0" applyNumberFormat="1" applyFont="1" applyFill="1" applyBorder="1" applyAlignment="1">
      <x:alignment horizontal="right"/>
    </x:xf>
    <x:xf numFmtId="0" fontId="3" fillId="4" borderId="2" xfId="0" applyNumberFormat="1" applyFont="1" applyFill="1" applyBorder="1" applyAlignment="1">
      <x:alignment horizontal="center"/>
    </x:xf>
    <x:xf numFmtId="0" fontId="3" fillId="4" borderId="2" xfId="0" applyNumberFormat="1" applyFont="1" applyFill="1" applyBorder="1" applyAlignment="1">
      <x:alignment wrapText="1"/>
    </x:xf>
    <x:xf numFmtId="200" fontId="3" fillId="4" borderId="2" xfId="0" applyNumberFormat="1" applyFont="1" applyFill="1" applyBorder="1" applyAlignment="1">
      <x:alignment horizontal="right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201" fontId="0" fillId="0" borderId="1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/>
    </x:xf>
    <x:xf numFmtId="200" fontId="3" fillId="4" borderId="1" xfId="0" applyNumberFormat="1" applyFont="1" applyFill="1" applyBorder="1"/>
    <x:xf numFmtId="202" fontId="0" fillId="0" borderId="1" xfId="0" applyNumberFormat="1" applyFont="1" applyFill="1" applyBorder="1"/>
    <x:xf numFmtId="202" fontId="3" fillId="4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2325977797546ff" /><Relationship Type="http://schemas.openxmlformats.org/officeDocument/2006/relationships/theme" Target="/xl/theme/theme1.xml" Id="Raf141d59c2f24987" /><Relationship Type="http://schemas.openxmlformats.org/officeDocument/2006/relationships/sharedStrings" Target="/xl/sharedStrings.xml" Id="Rfb10b23a2b394707" /><Relationship Type="http://schemas.openxmlformats.org/officeDocument/2006/relationships/worksheet" Target="/xl/worksheets/sheet1.xml" Id="R03ea437786284732" /><Relationship Type="http://schemas.openxmlformats.org/officeDocument/2006/relationships/worksheet" Target="/xl/worksheets/sheet2.xml" Id="R5ac4e6ab032646f4" /><Relationship Type="http://schemas.openxmlformats.org/officeDocument/2006/relationships/worksheet" Target="/xl/worksheets/sheet3.xml" Id="R88e9fb0321ae4d00" /></Relationships>
</file>

<file path=xl/tables/table1.xml><?xml version="1.0" encoding="utf-8"?>
<x:table xmlns:x="http://schemas.openxmlformats.org/spreadsheetml/2006/main" id="1" name="TabelRABPRIMA" displayName="TabelRABPRIMA" ref="A3:E23" headerRowCount="1">
  <x:tableColumns count="5">
    <x:tableColumn id="1" name="No."/>
    <x:tableColumn id="2" name="Kategori"/>
    <x:tableColumn id="3" name="Komponen Pengeluaran"/>
    <x:tableColumn id="4" name="Jumlah (Rp)"/>
    <x:tableColumn id="5" name="Catatan"/>
  </x:tableColumns>
  <x:tableStyleInfo name="TableStyleMedium2" showRowStripes="1"/>
</x:table>
</file>

<file path=xl/tables/table2.xml><?xml version="1.0" encoding="utf-8"?>
<x:table xmlns:x="http://schemas.openxmlformats.org/spreadsheetml/2006/main" id="2" name="TabelCatatanReviewerRAB" displayName="TabelCatatanReviewerRAB" ref="A3:E4" headerRowCount="1">
  <x:tableColumns count="5">
    <x:tableColumn id="1" name="No."/>
    <x:tableColumn id="2" name="Catatan Reviewer"/>
    <x:tableColumn id="3" name="Perbaikan"/>
    <x:tableColumn id="4" name="Letak Perbaikan"/>
    <x:tableColumn id="5" name="Penjelasa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a2cc01be9f44c8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0864d924de446e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8" hidden="0" customWidth="1"/>
    <x:col min="3" max="3" width="14" hidden="0" customWidth="1"/>
  </x:cols>
  <x:sheetData>
    <x:row r="1" ht="28" customHeight="1">
      <x:c r="A1" s="4" t="str">
        <x:v>Ringkasan RAB PRIMA+ OPSI 2026</x:v>
      </x:c>
    </x:row>
    <x:row r="3">
      <x:c r="A3" s="26" t="str">
        <x:v>Total RAB</x:v>
      </x:c>
      <x:c r="B3" s="13" t="n">
        <x:f>'RAB Rinci'!D24</x:f>
        <x:v>1987100</x:v>
      </x:c>
    </x:row>
    <x:row r="4">
      <x:c r="A4" s="26" t="str">
        <x:v>Batas maksimal revisi</x:v>
      </x:c>
      <x:c r="B4" s="13" t="n">
        <x:v>2000000</x:v>
      </x:c>
    </x:row>
    <x:row r="5">
      <x:c r="A5" s="26" t="str">
        <x:v>Batas maksimal OPSI</x:v>
      </x:c>
      <x:c r="B5" s="13" t="n">
        <x:v>15000000</x:v>
      </x:c>
    </x:row>
    <x:row r="6">
      <x:c r="A6" s="26" t="str">
        <x:v>Jumlah item</x:v>
      </x:c>
      <x:c r="B6" s="27" t="n">
        <x:v>20</x:v>
      </x:c>
    </x:row>
    <x:row r="7">
      <x:c r="A7" s="26" t="str">
        <x:v>Status</x:v>
      </x:c>
      <x:c r="B7" s="11" t="str">
        <x:f>IF(AND(B3&lt;=B4,B3&lt;&gt;2000000),"Sesuai: rinci dan tidak bulat","Perlu revisi")</x:f>
        <x:v>Sesuai: rinci dan tidak bulat</x:v>
      </x:c>
    </x:row>
    <x:row r="10">
      <x:c r="A10" s="29" t="str">
        <x:v>Kategori</x:v>
      </x:c>
      <x:c r="B10" s="29" t="str">
        <x:v>Jumlah (Rp)</x:v>
      </x:c>
      <x:c r="C10" s="29" t="str">
        <x:v>Persentase</x:v>
      </x:c>
    </x:row>
    <x:row r="11">
      <x:c r="A11" s="11" t="str">
        <x:v>Barang</x:v>
      </x:c>
      <x:c r="B11" s="13" t="n">
        <x:f>SUMIF('RAB Rinci'!B4:B23,A11,'RAB Rinci'!D4:D23)</x:f>
        <x:v>516600</x:v>
      </x:c>
      <x:c r="C11" s="31" t="n">
        <x:f>B11/$B$3</x:f>
        <x:v>0.2599768506869307</x:v>
      </x:c>
    </x:row>
    <x:row r="12">
      <x:c r="A12" s="11" t="str">
        <x:v>Jasa</x:v>
      </x:c>
      <x:c r="B12" s="13" t="n">
        <x:f>SUMIF('RAB Rinci'!B4:B23,A12,'RAB Rinci'!D4:D23)</x:f>
        <x:v>622500</x:v>
      </x:c>
      <x:c r="C12" s="31" t="n">
        <x:f>B12/$B$3</x:f>
        <x:v>0.3132705953399426</x:v>
      </x:c>
    </x:row>
    <x:row r="13">
      <x:c r="A13" s="11" t="str">
        <x:v>Sewa/akses</x:v>
      </x:c>
      <x:c r="B13" s="13" t="n">
        <x:f>SUMIF('RAB Rinci'!B4:B23,A13,'RAB Rinci'!D4:D23)</x:f>
        <x:v>135000</x:v>
      </x:c>
      <x:c r="C13" s="31" t="n">
        <x:f>B13/$B$3</x:f>
        <x:v>0.0679382013990237</x:v>
      </x:c>
    </x:row>
    <x:row r="14">
      <x:c r="A14" s="11" t="str">
        <x:v>Sewa</x:v>
      </x:c>
      <x:c r="B14" s="13" t="n">
        <x:f>SUMIF('RAB Rinci'!B4:B23,A14,'RAB Rinci'!D4:D23)</x:f>
        <x:v>130000</x:v>
      </x:c>
      <x:c r="C14" s="31" t="n">
        <x:f>B14/$B$3</x:f>
        <x:v>0.06542197171757838</x:v>
      </x:c>
    </x:row>
    <x:row r="15">
      <x:c r="A15" s="11" t="str">
        <x:v>Lainnya</x:v>
      </x:c>
      <x:c r="B15" s="13" t="n">
        <x:f>SUMIF('RAB Rinci'!B4:B23,A15,'RAB Rinci'!D4:D23)</x:f>
        <x:v>583000</x:v>
      </x:c>
      <x:c r="C15" s="31" t="n">
        <x:f>B15/$B$3</x:f>
        <x:v>0.2933923808565246</x:v>
      </x:c>
    </x:row>
    <x:row r="16">
      <x:c r="A16" s="26" t="str">
        <x:v>Total</x:v>
      </x:c>
      <x:c r="B16" s="30" t="n">
        <x:f>SUM(B11:B15)</x:f>
        <x:v>1987100</x:v>
      </x:c>
      <x:c r="C16" s="32" t="n">
        <x:f>SUM(C11:C15)</x:f>
        <x:v>1</x:v>
      </x:c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23" hidden="0" customWidth="1"/>
    <x:col min="3" max="3" width="62" hidden="0" customWidth="1"/>
    <x:col min="4" max="4" width="18" hidden="0" customWidth="1"/>
    <x:col min="5" max="5" width="34" hidden="0" customWidth="1"/>
  </x:cols>
  <x:sheetData>
    <x:row r="1" ht="28" customHeight="1">
      <x:c r="A1" s="4" t="str">
        <x:v>Rancangan Anggaran Biaya PRIMA+ OPSI 2026</x:v>
      </x:c>
    </x:row>
    <x:row r="3">
      <x:c r="A3" s="10" t="str">
        <x:v>No.</x:v>
      </x:c>
      <x:c r="B3" s="10" t="str">
        <x:v>Kategori</x:v>
      </x:c>
      <x:c r="C3" s="10" t="str">
        <x:v>Komponen Pengeluaran</x:v>
      </x:c>
      <x:c r="D3" s="10" t="str">
        <x:v>Jumlah (Rp)</x:v>
      </x:c>
      <x:c r="E3" s="10" t="str">
        <x:v>Catatan</x:v>
      </x:c>
    </x:row>
    <x:row r="4">
      <x:c r="A4" s="12" t="n">
        <x:v>1</x:v>
      </x:c>
      <x:c r="B4" s="15" t="str">
        <x:v>Barang</x:v>
      </x:c>
      <x:c r="C4" s="15" t="str">
        <x:v>Kertas HVS A4 80 gsm (2 rim)</x:v>
      </x:c>
      <x:c r="D4" s="14" t="n">
        <x:v>112000</x:v>
      </x:c>
      <x:c r="E4" s="15" t="str">
        <x:v>Rinci dan sesuai batas revisi &lt;= Rp2.000.000</x:v>
      </x:c>
    </x:row>
    <x:row r="5">
      <x:c r="A5" s="12" t="n">
        <x:v>2</x:v>
      </x:c>
      <x:c r="B5" s="15" t="str">
        <x:v>Barang</x:v>
      </x:c>
      <x:c r="C5" s="15" t="str">
        <x:v>Tinta printer hitam refill (1 botol)</x:v>
      </x:c>
      <x:c r="D5" s="14" t="n">
        <x:v>62500</x:v>
      </x:c>
      <x:c r="E5" s="15" t="str">
        <x:v>Rinci dan sesuai batas revisi &lt;= Rp2.000.000</x:v>
      </x:c>
    </x:row>
    <x:row r="6">
      <x:c r="A6" s="12" t="n">
        <x:v>3</x:v>
      </x:c>
      <x:c r="B6" s="15" t="str">
        <x:v>Barang</x:v>
      </x:c>
      <x:c r="C6" s="15" t="str">
        <x:v>Tinta printer warna refill (1 botol)</x:v>
      </x:c>
      <x:c r="D6" s="14" t="n">
        <x:v>78500</x:v>
      </x:c>
      <x:c r="E6" s="15" t="str">
        <x:v>Rinci dan sesuai batas revisi &lt;= Rp2.000.000</x:v>
      </x:c>
    </x:row>
    <x:row r="7">
      <x:c r="A7" s="12" t="n">
        <x:v>4</x:v>
      </x:c>
      <x:c r="B7" s="15" t="str">
        <x:v>Barang</x:v>
      </x:c>
      <x:c r="C7" s="15" t="str">
        <x:v>Map plastik/snelhecter untuk berkas responden (35 lembar)</x:v>
      </x:c>
      <x:c r="D7" s="14" t="n">
        <x:v>52500</x:v>
      </x:c>
      <x:c r="E7" s="15" t="str">
        <x:v>Rinci dan sesuai batas revisi &lt;= Rp2.000.000</x:v>
      </x:c>
    </x:row>
    <x:row r="8">
      <x:c r="A8" s="12" t="n">
        <x:v>5</x:v>
      </x:c>
      <x:c r="B8" s="15" t="str">
        <x:v>Barang</x:v>
      </x:c>
      <x:c r="C8" s="15" t="str">
        <x:v>Label kode responden (2 pak)</x:v>
      </x:c>
      <x:c r="D8" s="14" t="n">
        <x:v>24000</x:v>
      </x:c>
      <x:c r="E8" s="15" t="str">
        <x:v>Rinci dan sesuai batas revisi &lt;= Rp2.000.000</x:v>
      </x:c>
    </x:row>
    <x:row r="9">
      <x:c r="A9" s="12" t="n">
        <x:v>6</x:v>
      </x:c>
      <x:c r="B9" s="15" t="str">
        <x:v>Barang</x:v>
      </x:c>
      <x:c r="C9" s="15" t="str">
        <x:v>Pulpen untuk pengisian instrumen (2 lusin)</x:v>
      </x:c>
      <x:c r="D9" s="14" t="n">
        <x:v>48000</x:v>
      </x:c>
      <x:c r="E9" s="15" t="str">
        <x:v>Rinci dan sesuai batas revisi &lt;= Rp2.000.000</x:v>
      </x:c>
    </x:row>
    <x:row r="10">
      <x:c r="A10" s="12" t="n">
        <x:v>7</x:v>
      </x:c>
      <x:c r="B10" s="15" t="str">
        <x:v>Barang</x:v>
      </x:c>
      <x:c r="C10" s="15" t="str">
        <x:v>Binder clip, staples, dan isolasi arsip (1 paket)</x:v>
      </x:c>
      <x:c r="D10" s="14" t="n">
        <x:v>35750</x:v>
      </x:c>
      <x:c r="E10" s="15" t="str">
        <x:v>Rinci dan sesuai batas revisi &lt;= Rp2.000.000</x:v>
      </x:c>
    </x:row>
    <x:row r="11">
      <x:c r="A11" s="12" t="n">
        <x:v>8</x:v>
      </x:c>
      <x:c r="B11" s="15" t="str">
        <x:v>Barang</x:v>
      </x:c>
      <x:c r="C11" s="15" t="str">
        <x:v>Flashdisk 32 GB untuk cadangan data penelitian (1 unit)</x:v>
      </x:c>
      <x:c r="D11" s="14" t="n">
        <x:v>44850</x:v>
      </x:c>
      <x:c r="E11" s="15" t="str">
        <x:v>Rinci dan sesuai batas revisi &lt;= Rp2.000.000</x:v>
      </x:c>
    </x:row>
    <x:row r="12">
      <x:c r="A12" s="12" t="n">
        <x:v>9</x:v>
      </x:c>
      <x:c r="B12" s="15" t="str">
        <x:v>Barang</x:v>
      </x:c>
      <x:c r="C12" s="15" t="str">
        <x:v>Materai Rp10.000 untuk berkas izin/validasi (4 lembar)</x:v>
      </x:c>
      <x:c r="D12" s="14" t="n">
        <x:v>40000</x:v>
      </x:c>
      <x:c r="E12" s="15" t="str">
        <x:v>Rinci dan sesuai batas revisi &lt;= Rp2.000.000</x:v>
      </x:c>
    </x:row>
    <x:row r="13">
      <x:c r="A13" s="12" t="n">
        <x:v>10</x:v>
      </x:c>
      <x:c r="B13" s="15" t="str">
        <x:v>Barang</x:v>
      </x:c>
      <x:c r="C13" s="15" t="str">
        <x:v>Amplop cokelat arsip dokumen (10 lembar)</x:v>
      </x:c>
      <x:c r="D13" s="14" t="n">
        <x:v>18500</x:v>
      </x:c>
      <x:c r="E13" s="15" t="str">
        <x:v>Rinci dan sesuai batas revisi &lt;= Rp2.000.000</x:v>
      </x:c>
    </x:row>
    <x:row r="14">
      <x:c r="A14" s="12" t="n">
        <x:v>11</x:v>
      </x:c>
      <x:c r="B14" s="15" t="str">
        <x:v>Jasa</x:v>
      </x:c>
      <x:c r="C14" s="15" t="str">
        <x:v>Fotokopi/cetak kuesioner pretest-posttest (60 set)</x:v>
      </x:c>
      <x:c r="D14" s="14" t="n">
        <x:v>210000</x:v>
      </x:c>
      <x:c r="E14" s="15" t="str">
        <x:v>Rinci dan sesuai batas revisi &lt;= Rp2.000.000</x:v>
      </x:c>
    </x:row>
    <x:row r="15">
      <x:c r="A15" s="12" t="n">
        <x:v>12</x:v>
      </x:c>
      <x:c r="B15" s="15" t="str">
        <x:v>Jasa</x:v>
      </x:c>
      <x:c r="C15" s="15" t="str">
        <x:v>Cetak lembar validasi dan angket respons (40 set)</x:v>
      </x:c>
      <x:c r="D15" s="14" t="n">
        <x:v>137500</x:v>
      </x:c>
      <x:c r="E15" s="15" t="str">
        <x:v>Rinci dan sesuai batas revisi &lt;= Rp2.000.000</x:v>
      </x:c>
    </x:row>
    <x:row r="16">
      <x:c r="A16" s="12" t="n">
        <x:v>13</x:v>
      </x:c>
      <x:c r="B16" s="15" t="str">
        <x:v>Jasa</x:v>
      </x:c>
      <x:c r="C16" s="15" t="str">
        <x:v>Cetak kartu skenario kasus bahasa PRIMA+ (30 set)</x:v>
      </x:c>
      <x:c r="D16" s="14" t="n">
        <x:v>185000</x:v>
      </x:c>
      <x:c r="E16" s="15" t="str">
        <x:v>Rinci dan sesuai batas revisi &lt;= Rp2.000.000</x:v>
      </x:c>
    </x:row>
    <x:row r="17">
      <x:c r="A17" s="12" t="n">
        <x:v>14</x:v>
      </x:c>
      <x:c r="B17" s="15" t="str">
        <x:v>Jasa</x:v>
      </x:c>
      <x:c r="C17" s="15" t="str">
        <x:v>Jilid laporan proposal/lampiran (3 eksemplar)</x:v>
      </x:c>
      <x:c r="D17" s="14" t="n">
        <x:v>90000</x:v>
      </x:c>
      <x:c r="E17" s="15" t="str">
        <x:v>Rinci dan sesuai batas revisi &lt;= Rp2.000.000</x:v>
      </x:c>
    </x:row>
    <x:row r="18">
      <x:c r="A18" s="12" t="n">
        <x:v>15</x:v>
      </x:c>
      <x:c r="B18" s="15" t="str">
        <x:v>Sewa/akses</x:v>
      </x:c>
      <x:c r="C18" s="15" t="str">
        <x:v>Paket data internet 25 GB untuk koordinasi dan uji coba (1 nomor)</x:v>
      </x:c>
      <x:c r="D18" s="14" t="n">
        <x:v>135000</x:v>
      </x:c>
      <x:c r="E18" s="15" t="str">
        <x:v>Rinci dan sesuai batas revisi &lt;= Rp2.000.000</x:v>
      </x:c>
    </x:row>
    <x:row r="19">
      <x:c r="A19" s="12" t="n">
        <x:v>16</x:v>
      </x:c>
      <x:c r="B19" s="15" t="str">
        <x:v>Sewa</x:v>
      </x:c>
      <x:c r="C19" s="15" t="str">
        <x:v>Modem Wi-Fi portabel saat uji coba (1 hari)</x:v>
      </x:c>
      <x:c r="D19" s="14" t="n">
        <x:v>85000</x:v>
      </x:c>
      <x:c r="E19" s="15" t="str">
        <x:v>Rinci dan sesuai batas revisi &lt;= Rp2.000.000</x:v>
      </x:c>
    </x:row>
    <x:row r="20">
      <x:c r="A20" s="12" t="n">
        <x:v>17</x:v>
      </x:c>
      <x:c r="B20" s="15" t="str">
        <x:v>Sewa</x:v>
      </x:c>
      <x:c r="C20" s="15" t="str">
        <x:v>Tripod HP untuk dokumentasi kegiatan (1 hari)</x:v>
      </x:c>
      <x:c r="D20" s="14" t="n">
        <x:v>45000</x:v>
      </x:c>
      <x:c r="E20" s="15" t="str">
        <x:v>Rinci dan sesuai batas revisi &lt;= Rp2.000.000</x:v>
      </x:c>
    </x:row>
    <x:row r="21">
      <x:c r="A21" s="12" t="n">
        <x:v>18</x:v>
      </x:c>
      <x:c r="B21" s="15" t="str">
        <x:v>Lainnya</x:v>
      </x:c>
      <x:c r="C21" s="15" t="str">
        <x:v>Transport lokal ke sekolah, validator, dan percetakan (4 kali perjalanan)</x:v>
      </x:c>
      <x:c r="D21" s="14" t="n">
        <x:v>245000</x:v>
      </x:c>
      <x:c r="E21" s="15" t="str">
        <x:v>Rinci dan sesuai batas revisi &lt;= Rp2.000.000</x:v>
      </x:c>
    </x:row>
    <x:row r="22">
      <x:c r="A22" s="12" t="n">
        <x:v>19</x:v>
      </x:c>
      <x:c r="B22" s="15" t="str">
        <x:v>Lainnya</x:v>
      </x:c>
      <x:c r="C22" s="15" t="str">
        <x:v>Konsumsi ringan validator dan siswa uji coba (35 paket)</x:v>
      </x:c>
      <x:c r="D22" s="14" t="n">
        <x:v>280000</x:v>
      </x:c>
      <x:c r="E22" s="15" t="str">
        <x:v>Rinci dan sesuai batas revisi &lt;= Rp2.000.000</x:v>
      </x:c>
    </x:row>
    <x:row r="23">
      <x:c r="A23" s="12" t="n">
        <x:v>20</x:v>
      </x:c>
      <x:c r="B23" s="15" t="str">
        <x:v>Lainnya</x:v>
      </x:c>
      <x:c r="C23" s="15" t="str">
        <x:v>Air mineral gelas untuk kegiatan validasi/uji coba (2 dus)</x:v>
      </x:c>
      <x:c r="D23" s="14" t="n">
        <x:v>58000</x:v>
      </x:c>
      <x:c r="E23" s="15" t="str">
        <x:v>Rinci dan sesuai batas revisi &lt;= Rp2.000.000</x:v>
      </x:c>
    </x:row>
    <x:row r="24">
      <x:c r="A24" s="22" t="str">
        <x:v>Total</x:v>
      </x:c>
      <x:c r="B24" s="23"/>
      <x:c r="C24" s="23"/>
      <x:c r="D24" s="24" t="n">
        <x:f>SUM(D4:D23)</x:f>
        <x:v>1987100</x:v>
      </x:c>
      <x:c r="E24" s="23" t="str">
        <x:f>IF(D24&lt;=2000000,"Sesuai batas revisi &lt; Rp2.000.000","Perlu cek total")</x:f>
        <x:v>Sesuai batas revisi &lt; Rp2.000.000</x:v>
      </x:c>
    </x:row>
  </x:sheetData>
  <x:mergeCells>
    <x:mergeCell ref="A1:E1"/>
    <x:mergeCell ref="A24:C24"/>
  </x:mergeCells>
  <x:pageMargins left="0.7" right="0.7" top="0.75" bottom="0.75" header="0.3" footer="0.3"/>
  <x:tableParts count="1">
    <x:tablePart xmlns:r="http://schemas.openxmlformats.org/officeDocument/2006/relationships" r:id="R5a2cc01be9f44c8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4" hidden="0" customWidth="1"/>
    <x:col min="3" max="3" width="50" hidden="0" customWidth="1"/>
    <x:col min="4" max="4" width="34" hidden="0" customWidth="1"/>
    <x:col min="5" max="5" width="52" hidden="0" customWidth="1"/>
  </x:cols>
  <x:sheetData>
    <x:row r="1" ht="28" customHeight="1">
      <x:c r="A1" s="4" t="str">
        <x:v>Catatan Reviewer dan Penyesuaian RAB</x:v>
      </x:c>
    </x:row>
    <x:row r="3">
      <x:c r="A3" s="10" t="str">
        <x:v>No.</x:v>
      </x:c>
      <x:c r="B3" s="10" t="str">
        <x:v>Catatan Reviewer</x:v>
      </x:c>
      <x:c r="C3" s="10" t="str">
        <x:v>Perbaikan</x:v>
      </x:c>
      <x:c r="D3" s="10" t="str">
        <x:v>Letak Perbaikan</x:v>
      </x:c>
      <x:c r="E3" s="10" t="str">
        <x:v>Penjelasan</x:v>
      </x:c>
    </x:row>
    <x:row r="4">
      <x:c r="A4" s="12" t="n">
        <x:v>1</x:v>
      </x:c>
      <x:c r="B4" s="15" t="str">
        <x:v>Anggaran kurang realistis dan komponen belum rinci.</x:v>
      </x:c>
      <x:c r="C4" s="15" t="str">
        <x:v>RAB direvisi menjadi Rp1.987.100, dibatasi di bawah Rp2.000.000, dan dipecah menjadi 20 item konkret barang, jasa, sewa, akses, dan lainnya.</x:v>
      </x:c>
      <x:c r="D4" s="15" t="str">
        <x:v>BAB 4.1 proposal, tabel revisi reviewer, dan workbook RAB.</x:v>
      </x:c>
      <x:c r="E4" s="15" t="str">
        <x:v>Komponen abstrak dihapus. RAB kini menyebut nama barang/sewa/jasa secara langsung, misalnya kertas HVS, tinta printer, jasa fotokopi, paket data internet, sewa modem, sewa tripod, transport lokal, konsumsi ringan, dan air mineral.</x:v>
      </x:c>
    </x:row>
    <x:row r="7">
      <x:c r="A7" s="20" t="str">
        <x:v>Total RAB revisi</x:v>
      </x:c>
      <x:c r="B7" s="13" t="n">
        <x:f>'RAB Rinci'!D24</x:f>
        <x:v>1987100</x:v>
      </x:c>
    </x:row>
    <x:row r="8">
      <x:c r="A8" s="20" t="str">
        <x:v>Batas maksimal revisi</x:v>
      </x:c>
      <x:c r="B8" s="13" t="n">
        <x:v>2000000</x:v>
      </x:c>
    </x:row>
    <x:row r="9">
      <x:c r="A9" s="20" t="str">
        <x:v>Sisa terhadap batas</x:v>
      </x:c>
      <x:c r="B9" s="13" t="n">
        <x:f>B8-B7</x:f>
        <x:v>12900</x:v>
      </x:c>
    </x:row>
    <x:row r="10">
      <x:c r="A10" s="20" t="str">
        <x:v>Jumlah komponen</x:v>
      </x:c>
      <x:c r="B10" s="11" t="n">
        <x:v>20</x:v>
      </x:c>
    </x:row>
    <x:row r="11">
      <x:c r="A11" s="20" t="str">
        <x:v>Status</x:v>
      </x:c>
      <x:c r="B11" s="11" t="str">
        <x:f>IF(AND(B7&lt;=B8,B7&lt;&gt;2000000),"Sesuai catatan reviewer","Perlu revisi")</x:f>
        <x:v>Sesuai catatan reviewer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20864d924de446e6"/>
  </x:tableParts>
</x:worksheet>
</file>